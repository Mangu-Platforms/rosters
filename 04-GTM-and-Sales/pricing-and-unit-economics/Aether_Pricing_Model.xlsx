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er-Customer Economics" sheetId="2" state="visible" r:id="rId4"/>
    <sheet name="Portfolio ARR Scale" sheetId="3" state="visible" r:id="rId5"/>
    <sheet name="Stage I Cash Need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<sst xmlns="http://schemas.openxmlformats.org/spreadsheetml/2006/main" count="84" uniqueCount="74">
  <si>
    <t xml:space="preserve">AETHER — Pricing &amp; Unit Economics Model</t>
  </si>
  <si>
    <t xml:space="preserve">Built from Aether_Feasibility_Study.docx Section 6 (revised, current-law baseline). Yellow cells are inputs — change them to re-run every downstream sheet.</t>
  </si>
  <si>
    <t xml:space="preserve">Assumption</t>
  </si>
  <si>
    <t xml:space="preserve">Value</t>
  </si>
  <si>
    <t xml:space="preserve">Source / note</t>
  </si>
  <si>
    <t xml:space="preserve">PEPM price (per employee per month)</t>
  </si>
  <si>
    <t xml:space="preserve">Operating Plan Section 8</t>
  </si>
  <si>
    <t xml:space="preserve">Avg employees per customer (illustrative)</t>
  </si>
  <si>
    <t xml:space="preserve">Operating Plan Section 9 illustrative firm</t>
  </si>
  <si>
    <t xml:space="preserve">Pay cycles per year</t>
  </si>
  <si>
    <t xml:space="preserve">Biweekly, per Operating Plan Section 9</t>
  </si>
  <si>
    <t xml:space="preserve">Loaded admin hourly rate</t>
  </si>
  <si>
    <t xml:space="preserve">Operating Plan Section 9</t>
  </si>
  <si>
    <t xml:space="preserve">Admin hours saved per cycle — low</t>
  </si>
  <si>
    <t xml:space="preserve">Admin hours saved per cycle — high</t>
  </si>
  <si>
    <t xml:space="preserve">State/training + R&amp;D credits found per year — low</t>
  </si>
  <si>
    <t xml:space="preserve">Feasibility Study Section 6 — current-law baseline, WOTC excluded</t>
  </si>
  <si>
    <t xml:space="preserve">State/training + R&amp;D credits found per year — high</t>
  </si>
  <si>
    <t xml:space="preserve">WOTC upside if Congress renews — low</t>
  </si>
  <si>
    <t xml:space="preserve">Difference vs. original $18k-$60k illustrative range that included WOTC</t>
  </si>
  <si>
    <t xml:space="preserve">WOTC upside if Congress renews — high</t>
  </si>
  <si>
    <t xml:space="preserve">WOTC renewed this year? (1 = yes, 0 = no)</t>
  </si>
  <si>
    <t xml:space="preserve">Feasibility Study Section 4 — WOTC lapsed for new hires after 2025-12-31; set to 1 only once Congress actually renews it</t>
  </si>
  <si>
    <t xml:space="preserve">Aether credit-share take rate, year 1</t>
  </si>
  <si>
    <t xml:space="preserve">Operating Plan Section 8 — 15-20%, stepping down; 18% used as midpoint</t>
  </si>
  <si>
    <t xml:space="preserve">Avoided-quit value — low</t>
  </si>
  <si>
    <t xml:space="preserve">Avoided-quit value — high</t>
  </si>
  <si>
    <t xml:space="preserve">Target gross margin on software PEPM</t>
  </si>
  <si>
    <t xml:space="preserve">Feasibility Study Section 6 — 'mid-70s', software PEPM only</t>
  </si>
  <si>
    <t xml:space="preserve">Portfolio-level avg employees per customer</t>
  </si>
  <si>
    <t xml:space="preserve">Matches Full Build Section 9's 200-customer / $3.6M ARR sketch — used only on the Portfolio sheet</t>
  </si>
  <si>
    <t xml:space="preserve">Illustrative Single Customer — Construction Firm</t>
  </si>
  <si>
    <t xml:space="preserve">Mirrors Operating Plan Section 9's 180-employee illustrative firm, rebuilt on the Feasibility Study's current-law credit baseline.</t>
  </si>
  <si>
    <t xml:space="preserve">Line</t>
  </si>
  <si>
    <t xml:space="preserve">Low</t>
  </si>
  <si>
    <t xml:space="preserve">High</t>
  </si>
  <si>
    <t xml:space="preserve">Note</t>
  </si>
  <si>
    <t xml:space="preserve">Employees</t>
  </si>
  <si>
    <t xml:space="preserve">Aether software revenue (PEPM), annual</t>
  </si>
  <si>
    <t xml:space="preserve">Stands alone — does not include credit-share or EWA, per the source plan's own instruction.</t>
  </si>
  <si>
    <t xml:space="preserve">Credits found (customer value, current-law + contingent WOTC)</t>
  </si>
  <si>
    <t xml:space="preserve">Value to the CUSTOMER, not Aether revenue — see credit-share row below.</t>
  </si>
  <si>
    <t xml:space="preserve">Aether credit-share revenue, annual</t>
  </si>
  <si>
    <t xml:space="preserve">Admin time recovered (customer value), annual</t>
  </si>
  <si>
    <t xml:space="preserve">One avoided quit (customer value, one-time)</t>
  </si>
  <si>
    <t xml:space="preserve">TOTAL Aether revenue (software + credit share)</t>
  </si>
  <si>
    <t xml:space="preserve">TOTAL customer-visible value (credits + admin time + one avoided quit)</t>
  </si>
  <si>
    <t xml:space="preserve">Customer value delivered per $1 of software spend</t>
  </si>
  <si>
    <t xml:space="preserve">The actual sales number: how many dollars of value show up for every dollar of PEPM spend.</t>
  </si>
  <si>
    <t xml:space="preserve">Portfolio ARR at Scale</t>
  </si>
  <si>
    <t xml:space="preserve">The 200-customer row reproduces Full Build Section 9's own sketch ($3.6M software ARR at 200 customers averaging 150 employees) as a sanity check on this model.</t>
  </si>
  <si>
    <t xml:space="preserve">Customers</t>
  </si>
  <si>
    <t xml:space="preserve">Avg employees</t>
  </si>
  <si>
    <t xml:space="preserve">Software ARR</t>
  </si>
  <si>
    <t xml:space="preserve">Credit-share ARR — low</t>
  </si>
  <si>
    <t xml:space="preserve">Credit-share ARR — high</t>
  </si>
  <si>
    <t xml:space="preserve">Total Aether ARR — low</t>
  </si>
  <si>
    <t xml:space="preserve">Total Aether ARR — high</t>
  </si>
  <si>
    <t xml:space="preserve">200-customer row should read ≈ $3,600,000 software ARR at the default 150-employee portfolio assumption — that's the built-in check.</t>
  </si>
  <si>
    <t xml:space="preserve">Stage I Cash Needs (partial — fill in the blue cells)</t>
  </si>
  <si>
    <t xml:space="preserve">SOC 2 figures are independently verified (Feasibility Study Section 6, Aug 2026). Counsel, insurance, and the spine hire's compensation are market-dependent — fill in real quotes as they come in.</t>
  </si>
  <si>
    <t xml:space="preserve">Item</t>
  </si>
  <si>
    <t xml:space="preserve">SOC 2 Type I (audit fee + tooling + internal hours)</t>
  </si>
  <si>
    <t xml:space="preserve">Feasibility Study Section 6 — verified this session</t>
  </si>
  <si>
    <t xml:space="preserve">SOC 2 Type II (additional, ~9-12 months out)</t>
  </si>
  <si>
    <t xml:space="preserve">Employment-tax / fintech counsel retainer (fill in)</t>
  </si>
  <si>
    <t xml:space="preserve">Market-dependent — get a real quote, see 02-Company-Ops/00-entity-and-legal</t>
  </si>
  <si>
    <t xml:space="preserve">Cyber / E&amp;O / crime insurance, annual (fill in)</t>
  </si>
  <si>
    <t xml:space="preserve">Market-dependent — see 02-Company-Ops/02-insurance-and-risk</t>
  </si>
  <si>
    <t xml:space="preserve">Payroll-operations 'spine' hire, annualized comp (fill in)</t>
  </si>
  <si>
    <t xml:space="preserve">Market-dependent — see 02-Company-Ops/04-hiring-and-team</t>
  </si>
  <si>
    <t xml:space="preserve">Embedded rail integration / setup fee (fill in)</t>
  </si>
  <si>
    <t xml:space="preserve">Depends on ADR 0001 outcome — see 03-Product-OS/docs/architecture-decision-records</t>
  </si>
  <si>
    <t xml:space="preserve">TOTAL Stage I cash needs (this list only — not exhaustive)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</si>
</sst>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"/>
    <numFmt numFmtId="167" formatCode="0.0"/>
    <numFmt numFmtId="168" formatCode="0.0%"/>
    <numFmt numFmtId="169" formatCode="0.0\x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3D22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3D22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F3D22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8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0" t="s">
        <v>5</v>
      </c>
      <c r="B5" s="4" t="n">
        <v>10</v>
      </c>
      <c r="C5" s="2" t="s">
        <v>6</v>
      </c>
    </row>
    <row r="6" customFormat="false" ht="15" hidden="false" customHeight="false" outlineLevel="0" collapsed="false">
      <c r="A6" s="0" t="s">
        <v>7</v>
      </c>
      <c r="B6" s="5" t="n">
        <v>180</v>
      </c>
      <c r="C6" s="2" t="s">
        <v>8</v>
      </c>
    </row>
    <row r="7" customFormat="false" ht="15" hidden="false" customHeight="false" outlineLevel="0" collapsed="false">
      <c r="A7" s="0" t="s">
        <v>9</v>
      </c>
      <c r="B7" s="5" t="n">
        <v>26</v>
      </c>
      <c r="C7" s="2" t="s">
        <v>10</v>
      </c>
    </row>
    <row r="8" customFormat="false" ht="15" hidden="false" customHeight="false" outlineLevel="0" collapsed="false">
      <c r="A8" s="0" t="s">
        <v>11</v>
      </c>
      <c r="B8" s="4" t="n">
        <v>45</v>
      </c>
      <c r="C8" s="2" t="s">
        <v>12</v>
      </c>
    </row>
    <row r="9" customFormat="false" ht="15" hidden="false" customHeight="false" outlineLevel="0" collapsed="false">
      <c r="A9" s="0" t="s">
        <v>13</v>
      </c>
      <c r="B9" s="6" t="n">
        <v>3</v>
      </c>
      <c r="C9" s="2" t="s">
        <v>12</v>
      </c>
    </row>
    <row r="10" customFormat="false" ht="15" hidden="false" customHeight="false" outlineLevel="0" collapsed="false">
      <c r="A10" s="0" t="s">
        <v>14</v>
      </c>
      <c r="B10" s="6" t="n">
        <v>6</v>
      </c>
      <c r="C10" s="2" t="s">
        <v>12</v>
      </c>
    </row>
    <row r="11" customFormat="false" ht="15" hidden="false" customHeight="false" outlineLevel="0" collapsed="false">
      <c r="A11" s="0" t="s">
        <v>15</v>
      </c>
      <c r="B11" s="4" t="n">
        <v>5000</v>
      </c>
      <c r="C11" s="2" t="s">
        <v>16</v>
      </c>
    </row>
    <row r="12" customFormat="false" ht="15" hidden="false" customHeight="false" outlineLevel="0" collapsed="false">
      <c r="A12" s="0" t="s">
        <v>17</v>
      </c>
      <c r="B12" s="4" t="n">
        <v>25000</v>
      </c>
      <c r="C12" s="2" t="s">
        <v>16</v>
      </c>
    </row>
    <row r="13" customFormat="false" ht="15" hidden="false" customHeight="false" outlineLevel="0" collapsed="false">
      <c r="A13" s="0" t="s">
        <v>18</v>
      </c>
      <c r="B13" s="4" t="n">
        <v>13000</v>
      </c>
      <c r="C13" s="2" t="s">
        <v>19</v>
      </c>
    </row>
    <row r="14" customFormat="false" ht="15" hidden="false" customHeight="false" outlineLevel="0" collapsed="false">
      <c r="A14" s="0" t="s">
        <v>20</v>
      </c>
      <c r="B14" s="4" t="n">
        <v>35000</v>
      </c>
      <c r="C14" s="2" t="s">
        <v>19</v>
      </c>
    </row>
    <row r="15" customFormat="false" ht="15" hidden="false" customHeight="false" outlineLevel="0" collapsed="false">
      <c r="A15" s="0" t="s">
        <v>21</v>
      </c>
      <c r="B15" s="5" t="n">
        <v>0</v>
      </c>
      <c r="C15" s="2" t="s">
        <v>22</v>
      </c>
    </row>
    <row r="16" customFormat="false" ht="15" hidden="false" customHeight="false" outlineLevel="0" collapsed="false">
      <c r="A16" s="0" t="s">
        <v>23</v>
      </c>
      <c r="B16" s="7" t="n">
        <v>0.18</v>
      </c>
      <c r="C16" s="2" t="s">
        <v>24</v>
      </c>
    </row>
    <row r="17" customFormat="false" ht="15" hidden="false" customHeight="false" outlineLevel="0" collapsed="false">
      <c r="A17" s="0" t="s">
        <v>25</v>
      </c>
      <c r="B17" s="4" t="n">
        <v>8000</v>
      </c>
      <c r="C17" s="2" t="s">
        <v>12</v>
      </c>
    </row>
    <row r="18" customFormat="false" ht="15" hidden="false" customHeight="false" outlineLevel="0" collapsed="false">
      <c r="A18" s="0" t="s">
        <v>26</v>
      </c>
      <c r="B18" s="4" t="n">
        <v>15000</v>
      </c>
      <c r="C18" s="2" t="s">
        <v>12</v>
      </c>
    </row>
    <row r="19" customFormat="false" ht="15" hidden="false" customHeight="false" outlineLevel="0" collapsed="false">
      <c r="A19" s="0" t="s">
        <v>27</v>
      </c>
      <c r="B19" s="7" t="n">
        <v>0.75</v>
      </c>
      <c r="C19" s="2" t="s">
        <v>28</v>
      </c>
    </row>
    <row r="20" customFormat="false" ht="15" hidden="false" customHeight="false" outlineLevel="0" collapsed="false">
      <c r="A20" s="0" t="s">
        <v>29</v>
      </c>
      <c r="B20" s="5" t="n">
        <v>150</v>
      </c>
      <c r="C20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15" hidden="false" customHeight="false" outlineLevel="0" collapsed="false">
      <c r="A4" s="3" t="s">
        <v>33</v>
      </c>
      <c r="B4" s="3" t="s">
        <v>34</v>
      </c>
      <c r="C4" s="3" t="s">
        <v>35</v>
      </c>
      <c r="D4" s="3" t="s">
        <v>36</v>
      </c>
    </row>
    <row r="5" customFormat="false" ht="15" hidden="false" customHeight="false" outlineLevel="0" collapsed="false">
      <c r="A5" s="0" t="s">
        <v>37</v>
      </c>
      <c r="B5" s="8" t="n">
        <f aca="false">Assumptions!B6</f>
        <v>180</v>
      </c>
      <c r="C5" s="8" t="n">
        <f aca="false">Assumptions!B6</f>
        <v>180</v>
      </c>
    </row>
    <row r="6" customFormat="false" ht="15" hidden="false" customHeight="false" outlineLevel="0" collapsed="false">
      <c r="A6" s="9" t="s">
        <v>38</v>
      </c>
      <c r="B6" s="10" t="n">
        <f aca="false">Assumptions!B5*B5*12</f>
        <v>21600</v>
      </c>
      <c r="C6" s="10" t="n">
        <f aca="false">Assumptions!B5*B5*12</f>
        <v>21600</v>
      </c>
      <c r="D6" s="2" t="s">
        <v>39</v>
      </c>
    </row>
    <row r="7" customFormat="false" ht="15" hidden="false" customHeight="false" outlineLevel="0" collapsed="false">
      <c r="A7" s="0" t="s">
        <v>40</v>
      </c>
      <c r="B7" s="10" t="n">
        <f aca="false">Assumptions!B11+Assumptions!B15*Assumptions!B13</f>
        <v>5000</v>
      </c>
      <c r="C7" s="10" t="n">
        <f aca="false">Assumptions!B12+Assumptions!B15*Assumptions!B14</f>
        <v>25000</v>
      </c>
      <c r="D7" s="2" t="s">
        <v>41</v>
      </c>
    </row>
    <row r="8" customFormat="false" ht="15" hidden="false" customHeight="false" outlineLevel="0" collapsed="false">
      <c r="A8" s="9" t="s">
        <v>42</v>
      </c>
      <c r="B8" s="10" t="n">
        <f aca="false">B7*Assumptions!B16</f>
        <v>900</v>
      </c>
      <c r="C8" s="10" t="n">
        <f aca="false">C7*Assumptions!B16</f>
        <v>4500</v>
      </c>
    </row>
    <row r="9" customFormat="false" ht="15" hidden="false" customHeight="false" outlineLevel="0" collapsed="false">
      <c r="A9" s="0" t="s">
        <v>43</v>
      </c>
      <c r="B9" s="10" t="n">
        <f aca="false">Assumptions!B9*Assumptions!B7*Assumptions!B8</f>
        <v>3510</v>
      </c>
      <c r="C9" s="10" t="n">
        <f aca="false">Assumptions!B10*Assumptions!B7*Assumptions!B8</f>
        <v>7020</v>
      </c>
    </row>
    <row r="10" customFormat="false" ht="15" hidden="false" customHeight="false" outlineLevel="0" collapsed="false">
      <c r="A10" s="0" t="s">
        <v>44</v>
      </c>
      <c r="B10" s="10" t="n">
        <f aca="false">Assumptions!B17</f>
        <v>8000</v>
      </c>
      <c r="C10" s="10" t="n">
        <f aca="false">Assumptions!B18</f>
        <v>15000</v>
      </c>
    </row>
    <row r="12" customFormat="false" ht="15" hidden="false" customHeight="false" outlineLevel="0" collapsed="false">
      <c r="A12" s="9" t="s">
        <v>45</v>
      </c>
      <c r="B12" s="10" t="n">
        <f aca="false">B6+B8</f>
        <v>22500</v>
      </c>
      <c r="C12" s="10" t="n">
        <f aca="false">C6+C8</f>
        <v>26100</v>
      </c>
    </row>
    <row r="13" customFormat="false" ht="15" hidden="false" customHeight="false" outlineLevel="0" collapsed="false">
      <c r="A13" s="9" t="s">
        <v>46</v>
      </c>
      <c r="B13" s="10" t="n">
        <f aca="false">B7+B9+B10</f>
        <v>16510</v>
      </c>
      <c r="C13" s="10" t="n">
        <f aca="false">C7+C9+C10</f>
        <v>47020</v>
      </c>
    </row>
    <row r="14" customFormat="false" ht="15" hidden="false" customHeight="false" outlineLevel="0" collapsed="false">
      <c r="A14" s="9" t="s">
        <v>47</v>
      </c>
      <c r="B14" s="11" t="n">
        <f aca="false">B13/B6</f>
        <v>0.764351851851852</v>
      </c>
      <c r="C14" s="11" t="n">
        <f aca="false">C13/C6</f>
        <v>2.17685185185185</v>
      </c>
      <c r="D14" s="2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20"/>
    <col collapsed="false" customWidth="true" hidden="false" outlineLevel="0" max="7" min="6" style="0" width="18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3" t="s">
        <v>51</v>
      </c>
      <c r="B4" s="3" t="s">
        <v>52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57</v>
      </c>
    </row>
    <row r="5" customFormat="false" ht="15" hidden="false" customHeight="false" outlineLevel="0" collapsed="false">
      <c r="A5" s="8" t="n">
        <v>20</v>
      </c>
      <c r="B5" s="8" t="n">
        <f aca="false">Assumptions!B20</f>
        <v>150</v>
      </c>
      <c r="C5" s="10" t="n">
        <f aca="false">A5*B5*Assumptions!B5*12</f>
        <v>360000</v>
      </c>
      <c r="D5" s="10" t="n">
        <f aca="false">A5*Assumptions!B11*Assumptions!B16</f>
        <v>18000</v>
      </c>
      <c r="E5" s="10" t="n">
        <f aca="false">A5*Assumptions!B12*Assumptions!B16</f>
        <v>90000</v>
      </c>
      <c r="F5" s="10" t="n">
        <f aca="false">C5+D5</f>
        <v>378000</v>
      </c>
      <c r="G5" s="10" t="n">
        <f aca="false">C5+E5</f>
        <v>450000</v>
      </c>
    </row>
    <row r="6" customFormat="false" ht="15" hidden="false" customHeight="false" outlineLevel="0" collapsed="false">
      <c r="A6" s="8" t="n">
        <v>50</v>
      </c>
      <c r="B6" s="8" t="n">
        <f aca="false">Assumptions!B20</f>
        <v>150</v>
      </c>
      <c r="C6" s="10" t="n">
        <f aca="false">A6*B6*Assumptions!B5*12</f>
        <v>900000</v>
      </c>
      <c r="D6" s="10" t="n">
        <f aca="false">A6*Assumptions!B11*Assumptions!B16</f>
        <v>45000</v>
      </c>
      <c r="E6" s="10" t="n">
        <f aca="false">A6*Assumptions!B12*Assumptions!B16</f>
        <v>225000</v>
      </c>
      <c r="F6" s="10" t="n">
        <f aca="false">C6+D6</f>
        <v>945000</v>
      </c>
      <c r="G6" s="10" t="n">
        <f aca="false">C6+E6</f>
        <v>1125000</v>
      </c>
    </row>
    <row r="7" customFormat="false" ht="15" hidden="false" customHeight="false" outlineLevel="0" collapsed="false">
      <c r="A7" s="8" t="n">
        <v>100</v>
      </c>
      <c r="B7" s="8" t="n">
        <f aca="false">Assumptions!B20</f>
        <v>150</v>
      </c>
      <c r="C7" s="10" t="n">
        <f aca="false">A7*B7*Assumptions!B5*12</f>
        <v>1800000</v>
      </c>
      <c r="D7" s="10" t="n">
        <f aca="false">A7*Assumptions!B11*Assumptions!B16</f>
        <v>90000</v>
      </c>
      <c r="E7" s="10" t="n">
        <f aca="false">A7*Assumptions!B12*Assumptions!B16</f>
        <v>450000</v>
      </c>
      <c r="F7" s="10" t="n">
        <f aca="false">C7+D7</f>
        <v>1890000</v>
      </c>
      <c r="G7" s="10" t="n">
        <f aca="false">C7+E7</f>
        <v>2250000</v>
      </c>
    </row>
    <row r="8" customFormat="false" ht="15" hidden="false" customHeight="false" outlineLevel="0" collapsed="false">
      <c r="A8" s="8" t="n">
        <v>200</v>
      </c>
      <c r="B8" s="8" t="n">
        <f aca="false">Assumptions!B20</f>
        <v>150</v>
      </c>
      <c r="C8" s="10" t="n">
        <f aca="false">A8*B8*Assumptions!B5*12</f>
        <v>3600000</v>
      </c>
      <c r="D8" s="10" t="n">
        <f aca="false">A8*Assumptions!B11*Assumptions!B16</f>
        <v>180000</v>
      </c>
      <c r="E8" s="10" t="n">
        <f aca="false">A8*Assumptions!B12*Assumptions!B16</f>
        <v>900000</v>
      </c>
      <c r="F8" s="10" t="n">
        <f aca="false">C8+D8</f>
        <v>3780000</v>
      </c>
      <c r="G8" s="10" t="n">
        <f aca="false">C8+E8</f>
        <v>4500000</v>
      </c>
    </row>
    <row r="9" customFormat="false" ht="15" hidden="false" customHeight="false" outlineLevel="0" collapsed="false">
      <c r="A9" s="8" t="n">
        <v>500</v>
      </c>
      <c r="B9" s="8" t="n">
        <f aca="false">Assumptions!B20</f>
        <v>150</v>
      </c>
      <c r="C9" s="10" t="n">
        <f aca="false">A9*B9*Assumptions!B5*12</f>
        <v>9000000</v>
      </c>
      <c r="D9" s="10" t="n">
        <f aca="false">A9*Assumptions!B11*Assumptions!B16</f>
        <v>450000</v>
      </c>
      <c r="E9" s="10" t="n">
        <f aca="false">A9*Assumptions!B12*Assumptions!B16</f>
        <v>2250000</v>
      </c>
      <c r="F9" s="10" t="n">
        <f aca="false">C9+D9</f>
        <v>9450000</v>
      </c>
      <c r="G9" s="10" t="n">
        <f aca="false">C9+E9</f>
        <v>11250000</v>
      </c>
    </row>
    <row r="10" customFormat="false" ht="15" hidden="false" customHeight="false" outlineLevel="0" collapsed="false">
      <c r="A10" s="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3" min="2" style="0" width="14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15" hidden="false" customHeight="false" outlineLevel="0" collapsed="false">
      <c r="A4" s="3" t="s">
        <v>61</v>
      </c>
      <c r="B4" s="3" t="s">
        <v>34</v>
      </c>
      <c r="C4" s="3" t="s">
        <v>35</v>
      </c>
      <c r="D4" s="3" t="s">
        <v>36</v>
      </c>
    </row>
    <row r="5" customFormat="false" ht="15" hidden="false" customHeight="false" outlineLevel="0" collapsed="false">
      <c r="A5" s="0" t="s">
        <v>62</v>
      </c>
      <c r="B5" s="4" t="n">
        <v>20000</v>
      </c>
      <c r="C5" s="4" t="n">
        <v>60000</v>
      </c>
      <c r="D5" s="2" t="s">
        <v>63</v>
      </c>
    </row>
    <row r="6" customFormat="false" ht="15" hidden="false" customHeight="false" outlineLevel="0" collapsed="false">
      <c r="A6" s="0" t="s">
        <v>64</v>
      </c>
      <c r="B6" s="4" t="n">
        <v>30000</v>
      </c>
      <c r="C6" s="4" t="n">
        <v>80000</v>
      </c>
      <c r="D6" s="2" t="s">
        <v>63</v>
      </c>
    </row>
    <row r="7" customFormat="false" ht="15" hidden="false" customHeight="false" outlineLevel="0" collapsed="false">
      <c r="A7" s="0" t="s">
        <v>65</v>
      </c>
      <c r="B7" s="4" t="n">
        <v>0</v>
      </c>
      <c r="C7" s="4" t="n">
        <v>0</v>
      </c>
      <c r="D7" s="2" t="s">
        <v>66</v>
      </c>
    </row>
    <row r="8" customFormat="false" ht="15" hidden="false" customHeight="false" outlineLevel="0" collapsed="false">
      <c r="A8" s="0" t="s">
        <v>67</v>
      </c>
      <c r="B8" s="4" t="n">
        <v>0</v>
      </c>
      <c r="C8" s="4" t="n">
        <v>0</v>
      </c>
      <c r="D8" s="2" t="s">
        <v>68</v>
      </c>
    </row>
    <row r="9" customFormat="false" ht="15" hidden="false" customHeight="false" outlineLevel="0" collapsed="false">
      <c r="A9" s="0" t="s">
        <v>69</v>
      </c>
      <c r="B9" s="4" t="n">
        <v>0</v>
      </c>
      <c r="C9" s="4" t="n">
        <v>0</v>
      </c>
      <c r="D9" s="2" t="s">
        <v>70</v>
      </c>
    </row>
    <row r="10" customFormat="false" ht="15" hidden="false" customHeight="false" outlineLevel="0" collapsed="false">
      <c r="A10" s="0" t="s">
        <v>71</v>
      </c>
      <c r="B10" s="4" t="n">
        <v>0</v>
      </c>
      <c r="C10" s="4" t="n">
        <v>0</v>
      </c>
      <c r="D10" s="2" t="s">
        <v>72</v>
      </c>
    </row>
    <row r="12" customFormat="false" ht="15" hidden="false" customHeight="false" outlineLevel="0" collapsed="false">
      <c r="A12" s="9" t="s">
        <v>73</v>
      </c>
      <c r="B12" s="10" t="n">
        <f aca="false">SUM(B5:B10)</f>
        <v>50000</v>
      </c>
      <c r="C12" s="10" t="n">
        <f aca="false">SUM(C5:C10)</f>
        <v>140000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2026-08-26T12:11:44Z</dcterms:created>
  <dc:creator>openpyxl</dc:creator>
  <dc:description/>
  <dc:language>en-US</dc:language>
  <cp:lastModifiedBy/>
  <dcterms:modified xsi:type="dcterms:W3CDTF">2026-08-26T12:11:44Z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